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repos\MedLife\MedLife---finance\"/>
    </mc:Choice>
  </mc:AlternateContent>
  <xr:revisionPtr revIDLastSave="0" documentId="13_ncr:1_{2A00CEAE-2D10-45F1-AF49-C755AEC795E2}" xr6:coauthVersionLast="47" xr6:coauthVersionMax="47" xr10:uidLastSave="{00000000-0000-0000-0000-000000000000}"/>
  <bookViews>
    <workbookView xWindow="-5190" yWindow="-217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" l="1"/>
  <c r="H14" i="1"/>
  <c r="F9" i="1"/>
  <c r="F3" i="1"/>
  <c r="C10" i="1"/>
  <c r="D35" i="1"/>
  <c r="C55" i="1"/>
  <c r="C53" i="1"/>
  <c r="C50" i="1"/>
  <c r="C49" i="1"/>
  <c r="C54" i="1" s="1"/>
  <c r="C56" i="1" s="1"/>
  <c r="C58" i="1" s="1"/>
  <c r="C60" i="1" s="1"/>
  <c r="C3" i="1"/>
  <c r="C17" i="1" l="1"/>
</calcChain>
</file>

<file path=xl/sharedStrings.xml><?xml version="1.0" encoding="utf-8"?>
<sst xmlns="http://schemas.openxmlformats.org/spreadsheetml/2006/main" count="124" uniqueCount="111">
  <si>
    <t>Activ</t>
  </si>
  <si>
    <t>Obs</t>
  </si>
  <si>
    <t>Pasiv</t>
  </si>
  <si>
    <t>Elemente</t>
  </si>
  <si>
    <t>Observatii</t>
  </si>
  <si>
    <t>Sume pe 2017</t>
  </si>
  <si>
    <t>ACTIVE CURENTE</t>
  </si>
  <si>
    <t>Vanzari (Cifra de afaceri)</t>
  </si>
  <si>
    <t>rd1</t>
  </si>
  <si>
    <t>Stocuri</t>
  </si>
  <si>
    <t>Alte venituri de exploatare</t>
  </si>
  <si>
    <t>rd16 -rd1</t>
  </si>
  <si>
    <t>Creante</t>
  </si>
  <si>
    <t>Costul bunurilor vandute</t>
  </si>
  <si>
    <t>rd17+rd18+rd19+rd20-rd21</t>
  </si>
  <si>
    <t>Rezerve</t>
  </si>
  <si>
    <t>Cheltuieli de exploatare mai putin costul bunurilor vandute si amortizarea</t>
  </si>
  <si>
    <t>rd22+rd31+rd39</t>
  </si>
  <si>
    <t>Investitii pe termen scurt</t>
  </si>
  <si>
    <t>Rezultat reportat</t>
  </si>
  <si>
    <t>Venituri financiare</t>
  </si>
  <si>
    <t>rd52</t>
  </si>
  <si>
    <t>Cheltuieli in avans</t>
  </si>
  <si>
    <t>Alte cheltuieli financiare (fara dobanzi si impozite)</t>
  </si>
  <si>
    <t>rd53+rd58</t>
  </si>
  <si>
    <t>Provizioane</t>
  </si>
  <si>
    <t>EBITDA</t>
  </si>
  <si>
    <t>Imobilizari corporale</t>
  </si>
  <si>
    <t>Amortizare si depreciere</t>
  </si>
  <si>
    <t>rd25+rd28</t>
  </si>
  <si>
    <t>Imobilizari necorporale</t>
  </si>
  <si>
    <t>Pasive curente</t>
  </si>
  <si>
    <t>EBIT</t>
  </si>
  <si>
    <t>Cheltuieli cu dobanzile</t>
  </si>
  <si>
    <t>rd56</t>
  </si>
  <si>
    <t>EBT</t>
  </si>
  <si>
    <t>Impozit</t>
  </si>
  <si>
    <t>rd66 + rd67(daca exista)</t>
  </si>
  <si>
    <t>Rezultat net</t>
  </si>
  <si>
    <t>TOTAL ACTIV</t>
  </si>
  <si>
    <t>TOTAL PASIV</t>
  </si>
  <si>
    <t>I Ratele de solvabilitate pe termen scurt</t>
  </si>
  <si>
    <t xml:space="preserve">Formula </t>
  </si>
  <si>
    <t>Sume</t>
  </si>
  <si>
    <t>Rata de lichiditate curentă:</t>
  </si>
  <si>
    <t>Active curente/Pasive curente</t>
  </si>
  <si>
    <t>Rata de lichiditate rapidă:</t>
  </si>
  <si>
    <t>(Active curente-Stocuri)/Pasive curente</t>
  </si>
  <si>
    <t>Rata de lichiditate imediată:</t>
  </si>
  <si>
    <t>Cash/Pasive curente</t>
  </si>
  <si>
    <t>II Ratele de solvabilitate pe termen lung</t>
  </si>
  <si>
    <t>Rata îndatorării totale:</t>
  </si>
  <si>
    <t>(Active totale-Capitaluri proprii)/Active totale</t>
  </si>
  <si>
    <t>Rata acoperirii datoriei prin capital propriu:</t>
  </si>
  <si>
    <t>Datorii totale(TL+TS)/Capitaluri proprii</t>
  </si>
  <si>
    <t>Multiplicatorul capitalului propriu:</t>
  </si>
  <si>
    <t>Active totale/Capital propriu</t>
  </si>
  <si>
    <t>Rata de acoperire a dobânzii:</t>
  </si>
  <si>
    <t>EBIT/Dobândă</t>
  </si>
  <si>
    <t>N/A</t>
  </si>
  <si>
    <t>Rata de acoperire a dobânzii din cash:</t>
  </si>
  <si>
    <t>(EBIT+Amortizare)/Dobândă</t>
  </si>
  <si>
    <t>III Ratele de rotație a activului</t>
  </si>
  <si>
    <t>Rotația stocurilor</t>
  </si>
  <si>
    <t>Costul bunurilor vândute/Stocuri</t>
  </si>
  <si>
    <t>Rotația stocurilor ca durată</t>
  </si>
  <si>
    <t>365/Rotația stocurilor</t>
  </si>
  <si>
    <t>Rotația creanțelor</t>
  </si>
  <si>
    <t>Vânzări/Creanțe</t>
  </si>
  <si>
    <t>Rotația creanțelor ca durată</t>
  </si>
  <si>
    <t>365/Rotația creanțelor</t>
  </si>
  <si>
    <t>Rotația activelor totale</t>
  </si>
  <si>
    <t>Vânzări/Active totale</t>
  </si>
  <si>
    <t>Intensitatea utilizării capitalului</t>
  </si>
  <si>
    <t>Active totale/Vânzări</t>
  </si>
  <si>
    <t>IV Ratele de profitabilitate</t>
  </si>
  <si>
    <t>Rata pofitului</t>
  </si>
  <si>
    <t>Profit net/Vânzări</t>
  </si>
  <si>
    <t>Rata rentabilității economice "ROA"</t>
  </si>
  <si>
    <t>Profit net/Active totale</t>
  </si>
  <si>
    <t>Rata rentabilității financiare "ROE"</t>
  </si>
  <si>
    <t>Profit net/Capitaluri proprii</t>
  </si>
  <si>
    <t>Active Circulante</t>
  </si>
  <si>
    <t>Alte active</t>
  </si>
  <si>
    <t>Numerar și echivalente de numerar</t>
  </si>
  <si>
    <t>ACTIVE FIXE</t>
  </si>
  <si>
    <t>Fond comercial</t>
  </si>
  <si>
    <t>Active Imobilizate</t>
  </si>
  <si>
    <t>Drepturi de utilizare a activelor</t>
  </si>
  <si>
    <t>Alte active financiare</t>
  </si>
  <si>
    <t>CAPITALURI PROPRII</t>
  </si>
  <si>
    <t xml:space="preserve">CAPITALUL EMIS SI PRIME DE CAPITAL  </t>
  </si>
  <si>
    <t>Rezerve legale + Alte rezerve + Rezerve din reevaluare</t>
  </si>
  <si>
    <t>CAPITALURI</t>
  </si>
  <si>
    <t>Capital Social + Prime de Capital</t>
  </si>
  <si>
    <t>Acțiuni proprii</t>
  </si>
  <si>
    <t>An anterior +  Creștere din achiziția de acțiuni 
proprii</t>
  </si>
  <si>
    <t>Sume Activ 2024</t>
  </si>
  <si>
    <t>Sume Pasiv 2024</t>
  </si>
  <si>
    <t>Interese care nu controlează</t>
  </si>
  <si>
    <t>Datorii comerciale și alte datorii</t>
  </si>
  <si>
    <t>Descoperire de cont</t>
  </si>
  <si>
    <t>Porțiunea curentă a datoriei din leasing</t>
  </si>
  <si>
    <t>Porțiunea curentă a împrumuturilor purtătoare de dobânzi</t>
  </si>
  <si>
    <t>Datorii cu impozitul pe profit curent</t>
  </si>
  <si>
    <t>Alte datorii</t>
  </si>
  <si>
    <t>Datorii din leasing</t>
  </si>
  <si>
    <t>Alte datorii pe termen lung</t>
  </si>
  <si>
    <t>Împrumuturi purtătoare de dobânzi</t>
  </si>
  <si>
    <t>Datorii cu impozitul amânat</t>
  </si>
  <si>
    <t>Total Datorii pe Termen Lung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</si>
</sst>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b/>
      <i/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2"/>
      <color rgb="FF000000"/>
      <name val="Times New Roman"/>
      <family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5"/>
      <color theme="1"/>
      <name val="Calibri"/>
      <family val="2"/>
    </font>
    <font>
      <sz val="15"/>
      <color theme="1"/>
      <name val="Calibri"/>
      <family val="2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5" fillId="0" borderId="5" xfId="0" applyFont="1" applyBorder="1" applyAlignment="1">
      <alignment horizontal="right" vertical="center" wrapText="1"/>
    </xf>
    <xf numFmtId="0" fontId="6" fillId="0" borderId="5" xfId="0" applyFont="1" applyBorder="1" applyAlignment="1">
      <alignment horizontal="right" vertical="center" wrapText="1"/>
    </xf>
    <xf numFmtId="0" fontId="1" fillId="0" borderId="0" xfId="0" applyFont="1"/>
    <xf numFmtId="0" fontId="2" fillId="0" borderId="4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right" vertical="center" wrapText="1"/>
    </xf>
    <xf numFmtId="0" fontId="10" fillId="0" borderId="4" xfId="0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0" fillId="0" borderId="6" xfId="0" applyBorder="1"/>
    <xf numFmtId="3" fontId="0" fillId="0" borderId="6" xfId="0" applyNumberFormat="1" applyBorder="1"/>
    <xf numFmtId="0" fontId="7" fillId="0" borderId="6" xfId="0" applyFont="1" applyBorder="1" applyAlignment="1">
      <alignment vertical="center" wrapText="1"/>
    </xf>
    <xf numFmtId="3" fontId="3" fillId="0" borderId="6" xfId="0" applyNumberFormat="1" applyFont="1" applyBorder="1" applyAlignment="1">
      <alignment vertical="center" wrapText="1"/>
    </xf>
    <xf numFmtId="3" fontId="7" fillId="0" borderId="6" xfId="0" applyNumberFormat="1" applyFont="1" applyBorder="1" applyAlignment="1">
      <alignment vertical="center" wrapText="1"/>
    </xf>
    <xf numFmtId="3" fontId="2" fillId="0" borderId="6" xfId="0" applyNumberFormat="1" applyFont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2" fillId="0" borderId="6" xfId="0" applyFont="1" applyBorder="1" applyAlignment="1">
      <alignment vertical="center" wrapText="1"/>
    </xf>
    <xf numFmtId="3" fontId="11" fillId="0" borderId="6" xfId="0" applyNumberFormat="1" applyFont="1" applyBorder="1" applyAlignment="1">
      <alignment vertical="center" wrapText="1"/>
    </xf>
    <xf numFmtId="0" fontId="11" fillId="0" borderId="6" xfId="0" applyFont="1" applyBorder="1" applyAlignment="1">
      <alignment horizontal="center" vertical="center" wrapText="1"/>
    </xf>
    <xf numFmtId="0" fontId="13" fillId="0" borderId="6" xfId="0" applyFont="1" applyBorder="1"/>
    <xf numFmtId="0" fontId="0" fillId="0" borderId="6" xfId="0" applyBorder="1" applyAlignment="1">
      <alignment wrapText="1"/>
    </xf>
    <xf numFmtId="0" fontId="3" fillId="0" borderId="6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tabSelected="1" zoomScaleNormal="100" workbookViewId="0">
      <selection activeCell="G16" sqref="G16"/>
    </sheetView>
  </sheetViews>
  <sheetFormatPr defaultRowHeight="15" x14ac:dyDescent="0.25"/>
  <cols>
    <col min="1" max="1" width="30" customWidth="1"/>
    <col min="2" max="2" width="24.7109375" customWidth="1"/>
    <col min="3" max="3" width="39.85546875" customWidth="1"/>
    <col min="4" max="4" width="34.5703125" customWidth="1"/>
    <col min="5" max="5" width="35.7109375" customWidth="1"/>
    <col min="6" max="6" width="32.85546875" customWidth="1"/>
    <col min="7" max="7" width="36.85546875" customWidth="1"/>
    <col min="8" max="8" width="17.85546875" customWidth="1"/>
    <col min="9" max="9" width="26.7109375" customWidth="1"/>
    <col min="10" max="10" width="20.85546875" customWidth="1"/>
    <col min="11" max="11" width="28.5703125" customWidth="1"/>
  </cols>
  <sheetData>
    <row r="1" spans="1:8" x14ac:dyDescent="0.25">
      <c r="A1" s="1"/>
    </row>
    <row r="2" spans="1:8" ht="19.5" x14ac:dyDescent="0.25">
      <c r="A2" s="25" t="s">
        <v>0</v>
      </c>
      <c r="B2" s="25" t="s">
        <v>1</v>
      </c>
      <c r="C2" s="25" t="s">
        <v>97</v>
      </c>
      <c r="D2" s="25" t="s">
        <v>2</v>
      </c>
      <c r="E2" s="25" t="s">
        <v>1</v>
      </c>
      <c r="F2" s="25" t="s">
        <v>98</v>
      </c>
      <c r="G2" s="16"/>
      <c r="H2" s="16"/>
    </row>
    <row r="3" spans="1:8" ht="19.5" x14ac:dyDescent="0.3">
      <c r="A3" s="22" t="s">
        <v>6</v>
      </c>
      <c r="B3" s="23"/>
      <c r="C3" s="23">
        <f>SUM((C4:C9))</f>
        <v>658905448</v>
      </c>
      <c r="D3" s="22" t="s">
        <v>90</v>
      </c>
      <c r="E3" s="26"/>
      <c r="F3" s="24">
        <f>SUM(F4:F8) - 2 * F5</f>
        <v>504644731</v>
      </c>
      <c r="G3" s="16"/>
      <c r="H3" s="16"/>
    </row>
    <row r="4" spans="1:8" x14ac:dyDescent="0.25">
      <c r="A4" s="15" t="s">
        <v>9</v>
      </c>
      <c r="B4" s="16" t="s">
        <v>82</v>
      </c>
      <c r="C4" s="21">
        <v>148798218</v>
      </c>
      <c r="D4" s="16" t="s">
        <v>91</v>
      </c>
      <c r="E4" s="16" t="s">
        <v>94</v>
      </c>
      <c r="F4" s="17">
        <v>132562338</v>
      </c>
      <c r="G4" s="16"/>
      <c r="H4" s="16"/>
    </row>
    <row r="5" spans="1:8" ht="45" x14ac:dyDescent="0.25">
      <c r="A5" s="15" t="s">
        <v>12</v>
      </c>
      <c r="B5" s="16" t="s">
        <v>82</v>
      </c>
      <c r="C5" s="20">
        <v>324106860</v>
      </c>
      <c r="D5" s="15" t="s">
        <v>95</v>
      </c>
      <c r="E5" s="27" t="s">
        <v>96</v>
      </c>
      <c r="F5" s="19">
        <v>1760728</v>
      </c>
      <c r="G5" s="16"/>
      <c r="H5" s="16"/>
    </row>
    <row r="6" spans="1:8" x14ac:dyDescent="0.25">
      <c r="A6" s="15" t="s">
        <v>18</v>
      </c>
      <c r="B6" s="16" t="s">
        <v>82</v>
      </c>
      <c r="C6" s="15">
        <v>0</v>
      </c>
      <c r="D6" s="15" t="s">
        <v>15</v>
      </c>
      <c r="E6" s="16" t="s">
        <v>92</v>
      </c>
      <c r="F6" s="20">
        <v>232230657</v>
      </c>
      <c r="G6" s="16"/>
      <c r="H6" s="16"/>
    </row>
    <row r="7" spans="1:8" x14ac:dyDescent="0.25">
      <c r="A7" s="15" t="s">
        <v>83</v>
      </c>
      <c r="B7" s="16" t="s">
        <v>82</v>
      </c>
      <c r="C7" s="19">
        <v>55880250</v>
      </c>
      <c r="D7" s="15" t="s">
        <v>19</v>
      </c>
      <c r="E7" s="16" t="s">
        <v>93</v>
      </c>
      <c r="F7" s="17">
        <v>69593507</v>
      </c>
      <c r="G7" s="16"/>
      <c r="H7" s="16"/>
    </row>
    <row r="8" spans="1:8" x14ac:dyDescent="0.25">
      <c r="A8" s="15" t="s">
        <v>84</v>
      </c>
      <c r="B8" s="16" t="s">
        <v>82</v>
      </c>
      <c r="C8" s="17">
        <v>112808224</v>
      </c>
      <c r="D8" s="28" t="s">
        <v>99</v>
      </c>
      <c r="E8" s="27"/>
      <c r="F8" s="16">
        <v>72018957</v>
      </c>
      <c r="G8" s="16"/>
      <c r="H8" s="16"/>
    </row>
    <row r="9" spans="1:8" ht="19.5" x14ac:dyDescent="0.25">
      <c r="A9" s="15" t="s">
        <v>22</v>
      </c>
      <c r="B9" s="15" t="s">
        <v>82</v>
      </c>
      <c r="C9" s="17">
        <v>17311896</v>
      </c>
      <c r="D9" s="22" t="s">
        <v>31</v>
      </c>
      <c r="E9" s="16"/>
      <c r="F9" s="22">
        <f>SUM(F10:F16)</f>
        <v>976224339</v>
      </c>
      <c r="G9" s="16"/>
      <c r="H9" s="16"/>
    </row>
    <row r="10" spans="1:8" ht="19.5" x14ac:dyDescent="0.25">
      <c r="A10" s="22" t="s">
        <v>85</v>
      </c>
      <c r="B10" s="23"/>
      <c r="C10" s="24">
        <f>SUM(C11:C16)</f>
        <v>2357408397</v>
      </c>
      <c r="D10" s="16" t="s">
        <v>100</v>
      </c>
      <c r="E10" s="15"/>
      <c r="F10" s="16">
        <v>571552330</v>
      </c>
      <c r="G10" s="16" t="s">
        <v>106</v>
      </c>
      <c r="H10" s="16">
        <v>286025347</v>
      </c>
    </row>
    <row r="11" spans="1:8" x14ac:dyDescent="0.25">
      <c r="A11" s="15" t="s">
        <v>27</v>
      </c>
      <c r="B11" s="16" t="s">
        <v>87</v>
      </c>
      <c r="C11" s="17">
        <v>1303969853</v>
      </c>
      <c r="D11" s="16" t="s">
        <v>101</v>
      </c>
      <c r="E11" s="15"/>
      <c r="F11" s="16">
        <v>29076066</v>
      </c>
      <c r="G11" s="16" t="s">
        <v>107</v>
      </c>
      <c r="H11" s="16">
        <v>69109052</v>
      </c>
    </row>
    <row r="12" spans="1:8" x14ac:dyDescent="0.25">
      <c r="A12" s="15" t="s">
        <v>30</v>
      </c>
      <c r="B12" s="16" t="s">
        <v>87</v>
      </c>
      <c r="C12" s="20">
        <v>120974820</v>
      </c>
      <c r="D12" s="16" t="s">
        <v>102</v>
      </c>
      <c r="E12" s="16"/>
      <c r="F12" s="16">
        <v>108288263</v>
      </c>
      <c r="G12" s="16" t="s">
        <v>108</v>
      </c>
      <c r="H12" s="16">
        <v>1135073779</v>
      </c>
    </row>
    <row r="13" spans="1:8" ht="25.5" x14ac:dyDescent="0.25">
      <c r="A13" s="16" t="s">
        <v>86</v>
      </c>
      <c r="B13" s="16" t="s">
        <v>87</v>
      </c>
      <c r="C13" s="17">
        <v>492034979</v>
      </c>
      <c r="D13" s="15" t="s">
        <v>103</v>
      </c>
      <c r="E13" s="15"/>
      <c r="F13" s="18">
        <v>127417891</v>
      </c>
      <c r="G13" s="16" t="s">
        <v>109</v>
      </c>
      <c r="H13" s="16">
        <v>45236597</v>
      </c>
    </row>
    <row r="14" spans="1:8" ht="19.5" x14ac:dyDescent="0.3">
      <c r="A14" s="16" t="s">
        <v>88</v>
      </c>
      <c r="B14" s="16" t="s">
        <v>87</v>
      </c>
      <c r="C14" s="17">
        <v>54138411</v>
      </c>
      <c r="D14" s="15" t="s">
        <v>104</v>
      </c>
      <c r="E14" s="15"/>
      <c r="F14" s="16">
        <v>4322327</v>
      </c>
      <c r="G14" s="26" t="s">
        <v>110</v>
      </c>
      <c r="H14" s="16">
        <f xml:space="preserve"> SUM(H10:H13)</f>
        <v>1535444775</v>
      </c>
    </row>
    <row r="15" spans="1:8" x14ac:dyDescent="0.25">
      <c r="A15" s="16" t="s">
        <v>89</v>
      </c>
      <c r="B15" s="16" t="s">
        <v>87</v>
      </c>
      <c r="C15" s="17">
        <v>0</v>
      </c>
      <c r="D15" s="15" t="s">
        <v>25</v>
      </c>
      <c r="E15" s="15"/>
      <c r="F15" s="18">
        <v>17409666</v>
      </c>
      <c r="G15" s="16"/>
      <c r="H15" s="16"/>
    </row>
    <row r="16" spans="1:8" x14ac:dyDescent="0.25">
      <c r="A16" s="16" t="s">
        <v>88</v>
      </c>
      <c r="B16" s="16" t="s">
        <v>87</v>
      </c>
      <c r="C16" s="17">
        <v>386290334</v>
      </c>
      <c r="D16" s="15" t="s">
        <v>105</v>
      </c>
      <c r="E16" s="15"/>
      <c r="F16" s="15">
        <v>118157796</v>
      </c>
      <c r="G16" s="16"/>
      <c r="H16" s="16"/>
    </row>
    <row r="17" spans="1:8" ht="19.5" x14ac:dyDescent="0.25">
      <c r="A17" s="22" t="s">
        <v>39</v>
      </c>
      <c r="B17" s="22"/>
      <c r="C17" s="22">
        <f>C10 +C3</f>
        <v>3016313845</v>
      </c>
      <c r="D17" s="22" t="s">
        <v>40</v>
      </c>
      <c r="E17" s="22"/>
      <c r="F17" s="24">
        <f xml:space="preserve"> F3 +F9 +H14</f>
        <v>3016313845</v>
      </c>
      <c r="G17" s="16"/>
      <c r="H17" s="16"/>
    </row>
    <row r="18" spans="1:8" x14ac:dyDescent="0.25">
      <c r="A18" s="1"/>
    </row>
    <row r="20" spans="1:8" ht="15.75" thickBot="1" x14ac:dyDescent="0.3"/>
    <row r="21" spans="1:8" ht="32.25" thickBot="1" x14ac:dyDescent="0.3">
      <c r="A21" s="10" t="s">
        <v>41</v>
      </c>
      <c r="B21" s="3"/>
      <c r="C21" s="11" t="s">
        <v>42</v>
      </c>
      <c r="D21" s="11" t="s">
        <v>43</v>
      </c>
    </row>
    <row r="22" spans="1:8" ht="30.75" thickBot="1" x14ac:dyDescent="0.3">
      <c r="A22" s="12">
        <v>1</v>
      </c>
      <c r="B22" s="13" t="s">
        <v>44</v>
      </c>
      <c r="C22" s="13" t="s">
        <v>45</v>
      </c>
      <c r="D22" s="9">
        <v>13</v>
      </c>
    </row>
    <row r="23" spans="1:8" ht="15.75" thickBot="1" x14ac:dyDescent="0.3">
      <c r="A23" s="12">
        <v>2</v>
      </c>
      <c r="B23" s="13" t="s">
        <v>46</v>
      </c>
      <c r="C23" s="13" t="s">
        <v>47</v>
      </c>
      <c r="D23" s="13">
        <v>13</v>
      </c>
    </row>
    <row r="24" spans="1:8" ht="30.75" thickBot="1" x14ac:dyDescent="0.3">
      <c r="A24" s="12">
        <v>3</v>
      </c>
      <c r="B24" s="13" t="s">
        <v>48</v>
      </c>
      <c r="C24" s="13" t="s">
        <v>49</v>
      </c>
      <c r="D24" s="9">
        <v>35</v>
      </c>
    </row>
    <row r="25" spans="1:8" ht="15.75" thickBot="1" x14ac:dyDescent="0.3">
      <c r="A25" s="4"/>
      <c r="B25" s="9"/>
      <c r="C25" s="9"/>
      <c r="D25" s="9"/>
    </row>
    <row r="26" spans="1:8" ht="32.25" thickBot="1" x14ac:dyDescent="0.3">
      <c r="A26" s="14" t="s">
        <v>50</v>
      </c>
      <c r="B26" s="9"/>
      <c r="C26" s="9"/>
      <c r="D26" s="9"/>
    </row>
    <row r="27" spans="1:8" ht="30.75" thickBot="1" x14ac:dyDescent="0.3">
      <c r="A27" s="12">
        <v>1</v>
      </c>
      <c r="B27" s="13" t="s">
        <v>51</v>
      </c>
      <c r="C27" s="13" t="s">
        <v>52</v>
      </c>
      <c r="D27" s="9">
        <v>73</v>
      </c>
    </row>
    <row r="28" spans="1:8" ht="30.75" thickBot="1" x14ac:dyDescent="0.3">
      <c r="A28" s="12">
        <v>2</v>
      </c>
      <c r="B28" s="13" t="s">
        <v>53</v>
      </c>
      <c r="C28" s="13" t="s">
        <v>54</v>
      </c>
      <c r="D28" s="9">
        <v>277</v>
      </c>
    </row>
    <row r="29" spans="1:8" ht="30.75" thickBot="1" x14ac:dyDescent="0.3">
      <c r="A29" s="12">
        <v>3</v>
      </c>
      <c r="B29" s="13" t="s">
        <v>55</v>
      </c>
      <c r="C29" s="13" t="s">
        <v>56</v>
      </c>
      <c r="D29" s="9">
        <v>377</v>
      </c>
    </row>
    <row r="30" spans="1:8" ht="30.75" thickBot="1" x14ac:dyDescent="0.3">
      <c r="A30" s="12">
        <v>4</v>
      </c>
      <c r="B30" s="13" t="s">
        <v>57</v>
      </c>
      <c r="C30" s="13" t="s">
        <v>58</v>
      </c>
      <c r="D30" s="9" t="s">
        <v>59</v>
      </c>
    </row>
    <row r="31" spans="1:8" ht="30.75" thickBot="1" x14ac:dyDescent="0.3">
      <c r="A31" s="12">
        <v>5</v>
      </c>
      <c r="B31" s="13" t="s">
        <v>60</v>
      </c>
      <c r="C31" s="13" t="s">
        <v>61</v>
      </c>
      <c r="D31" s="9" t="s">
        <v>59</v>
      </c>
    </row>
    <row r="32" spans="1:8" ht="15.75" thickBot="1" x14ac:dyDescent="0.3">
      <c r="A32" s="4"/>
      <c r="B32" s="9"/>
      <c r="C32" s="9"/>
      <c r="D32" s="9"/>
    </row>
    <row r="33" spans="1:4" ht="32.25" thickBot="1" x14ac:dyDescent="0.3">
      <c r="A33" s="14" t="s">
        <v>62</v>
      </c>
      <c r="B33" s="9"/>
      <c r="C33" s="9"/>
      <c r="D33" s="9"/>
    </row>
    <row r="34" spans="1:4" ht="15.75" thickBot="1" x14ac:dyDescent="0.3">
      <c r="A34" s="12">
        <v>1</v>
      </c>
      <c r="B34" s="13" t="s">
        <v>63</v>
      </c>
      <c r="C34" s="13" t="s">
        <v>64</v>
      </c>
      <c r="D34" s="9">
        <v>27015694000</v>
      </c>
    </row>
    <row r="35" spans="1:4" ht="30.75" thickBot="1" x14ac:dyDescent="0.3">
      <c r="A35" s="12">
        <v>2</v>
      </c>
      <c r="B35" s="13" t="s">
        <v>65</v>
      </c>
      <c r="C35" s="13" t="s">
        <v>66</v>
      </c>
      <c r="D35" s="9">
        <f>365/27015694000</f>
        <v>1.3510665319202978E-8</v>
      </c>
    </row>
    <row r="36" spans="1:4" ht="15.75" thickBot="1" x14ac:dyDescent="0.3">
      <c r="A36" s="12">
        <v>3</v>
      </c>
      <c r="B36" s="13" t="s">
        <v>67</v>
      </c>
      <c r="C36" s="13" t="s">
        <v>68</v>
      </c>
      <c r="D36" s="9">
        <v>664</v>
      </c>
    </row>
    <row r="37" spans="1:4" ht="30.75" thickBot="1" x14ac:dyDescent="0.3">
      <c r="A37" s="12">
        <v>4</v>
      </c>
      <c r="B37" s="13" t="s">
        <v>69</v>
      </c>
      <c r="C37" s="13" t="s">
        <v>70</v>
      </c>
      <c r="D37" s="13">
        <v>5494</v>
      </c>
    </row>
    <row r="38" spans="1:4" ht="15.75" thickBot="1" x14ac:dyDescent="0.3">
      <c r="A38" s="12">
        <v>5</v>
      </c>
      <c r="B38" s="13" t="s">
        <v>71</v>
      </c>
      <c r="C38" s="13" t="s">
        <v>72</v>
      </c>
      <c r="D38" s="13">
        <v>424</v>
      </c>
    </row>
    <row r="39" spans="1:4" ht="30.75" thickBot="1" x14ac:dyDescent="0.3">
      <c r="A39" s="12">
        <v>6</v>
      </c>
      <c r="B39" s="13" t="s">
        <v>73</v>
      </c>
      <c r="C39" s="13" t="s">
        <v>74</v>
      </c>
      <c r="D39" s="13">
        <v>24</v>
      </c>
    </row>
    <row r="40" spans="1:4" ht="15.75" thickBot="1" x14ac:dyDescent="0.3">
      <c r="A40" s="4"/>
      <c r="B40" s="9"/>
      <c r="C40" s="9"/>
      <c r="D40" s="9"/>
    </row>
    <row r="41" spans="1:4" ht="16.5" thickBot="1" x14ac:dyDescent="0.3">
      <c r="A41" s="14" t="s">
        <v>75</v>
      </c>
      <c r="B41" s="9"/>
      <c r="C41" s="9"/>
      <c r="D41" s="9"/>
    </row>
    <row r="42" spans="1:4" ht="15.75" thickBot="1" x14ac:dyDescent="0.3">
      <c r="A42" s="12">
        <v>1</v>
      </c>
      <c r="B42" s="13" t="s">
        <v>76</v>
      </c>
      <c r="C42" s="13" t="s">
        <v>77</v>
      </c>
      <c r="D42" s="5">
        <v>403</v>
      </c>
    </row>
    <row r="43" spans="1:4" ht="30.75" thickBot="1" x14ac:dyDescent="0.3">
      <c r="A43" s="12">
        <v>2</v>
      </c>
      <c r="B43" s="13" t="s">
        <v>78</v>
      </c>
      <c r="C43" s="13" t="s">
        <v>79</v>
      </c>
      <c r="D43" s="5">
        <v>1709</v>
      </c>
    </row>
    <row r="44" spans="1:4" ht="30.75" thickBot="1" x14ac:dyDescent="0.3">
      <c r="A44" s="12">
        <v>3</v>
      </c>
      <c r="B44" s="13" t="s">
        <v>80</v>
      </c>
      <c r="C44" s="13" t="s">
        <v>81</v>
      </c>
      <c r="D44" s="13">
        <v>6448</v>
      </c>
    </row>
    <row r="46" spans="1:4" ht="15.75" thickBot="1" x14ac:dyDescent="0.3"/>
    <row r="47" spans="1:4" ht="15.75" thickBot="1" x14ac:dyDescent="0.3">
      <c r="A47" s="2" t="s">
        <v>3</v>
      </c>
      <c r="B47" s="3" t="s">
        <v>4</v>
      </c>
      <c r="C47" s="3" t="s">
        <v>5</v>
      </c>
    </row>
    <row r="48" spans="1:4" ht="15.75" thickBot="1" x14ac:dyDescent="0.3">
      <c r="A48" s="4" t="s">
        <v>7</v>
      </c>
      <c r="B48" s="5" t="s">
        <v>8</v>
      </c>
      <c r="C48" s="6">
        <v>3882396770</v>
      </c>
    </row>
    <row r="49" spans="1:3" ht="15.75" thickBot="1" x14ac:dyDescent="0.3">
      <c r="A49" s="4" t="s">
        <v>10</v>
      </c>
      <c r="B49" s="5" t="s">
        <v>11</v>
      </c>
      <c r="C49" s="7">
        <f>3930553350 - 3882396770</f>
        <v>48156580</v>
      </c>
    </row>
    <row r="50" spans="1:3" ht="15.75" thickBot="1" x14ac:dyDescent="0.3">
      <c r="A50" s="4" t="s">
        <v>13</v>
      </c>
      <c r="B50" s="5" t="s">
        <v>14</v>
      </c>
      <c r="C50" s="7">
        <f>1913242 + 2157394385 + 1753235 + 194658 - 0</f>
        <v>2161255520</v>
      </c>
    </row>
    <row r="51" spans="1:3" ht="45.75" thickBot="1" x14ac:dyDescent="0.3">
      <c r="A51" s="4" t="s">
        <v>16</v>
      </c>
      <c r="B51" s="5" t="s">
        <v>17</v>
      </c>
      <c r="C51" s="8">
        <v>1748212421</v>
      </c>
    </row>
    <row r="52" spans="1:3" ht="15.75" thickBot="1" x14ac:dyDescent="0.3">
      <c r="A52" s="4" t="s">
        <v>20</v>
      </c>
      <c r="B52" s="5" t="s">
        <v>21</v>
      </c>
      <c r="C52" s="9">
        <v>2167764</v>
      </c>
    </row>
    <row r="53" spans="1:3" ht="30.75" thickBot="1" x14ac:dyDescent="0.3">
      <c r="A53" s="4" t="s">
        <v>23</v>
      </c>
      <c r="B53" s="5" t="s">
        <v>24</v>
      </c>
      <c r="C53" s="9">
        <f>0 + 21342</f>
        <v>21342</v>
      </c>
    </row>
    <row r="54" spans="1:3" ht="15.75" thickBot="1" x14ac:dyDescent="0.3">
      <c r="A54" s="4" t="s">
        <v>26</v>
      </c>
      <c r="B54" s="5"/>
      <c r="C54" s="9">
        <f>C48+C49-C50-C51+C52-C53</f>
        <v>23231831</v>
      </c>
    </row>
    <row r="55" spans="1:3" ht="15.75" thickBot="1" x14ac:dyDescent="0.3">
      <c r="A55" s="4" t="s">
        <v>28</v>
      </c>
      <c r="B55" s="5" t="s">
        <v>29</v>
      </c>
      <c r="C55" s="9">
        <f>12664483+5965921</f>
        <v>18630404</v>
      </c>
    </row>
    <row r="56" spans="1:3" ht="15.75" thickBot="1" x14ac:dyDescent="0.3">
      <c r="A56" s="4" t="s">
        <v>32</v>
      </c>
      <c r="B56" s="5"/>
      <c r="C56" s="9">
        <f>C54-C55</f>
        <v>4601427</v>
      </c>
    </row>
    <row r="57" spans="1:3" ht="15.75" thickBot="1" x14ac:dyDescent="0.3">
      <c r="A57" s="4" t="s">
        <v>33</v>
      </c>
      <c r="B57" s="5" t="s">
        <v>34</v>
      </c>
      <c r="C57" s="9">
        <v>0</v>
      </c>
    </row>
    <row r="58" spans="1:3" ht="15.75" thickBot="1" x14ac:dyDescent="0.3">
      <c r="A58" s="4" t="s">
        <v>35</v>
      </c>
      <c r="B58" s="5"/>
      <c r="C58" s="5">
        <f>C56-C57</f>
        <v>4601427</v>
      </c>
    </row>
    <row r="59" spans="1:3" ht="15.75" thickBot="1" x14ac:dyDescent="0.3">
      <c r="A59" s="4" t="s">
        <v>36</v>
      </c>
      <c r="B59" s="5" t="s">
        <v>37</v>
      </c>
      <c r="C59" s="9">
        <v>3036284</v>
      </c>
    </row>
    <row r="60" spans="1:3" ht="15.75" thickBot="1" x14ac:dyDescent="0.3">
      <c r="A60" s="4" t="s">
        <v>38</v>
      </c>
      <c r="B60" s="5"/>
      <c r="C60" s="9">
        <f>C58-C59</f>
        <v>1565143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 Dragomir</dc:creator>
  <cp:lastModifiedBy>Andrei Dragomir</cp:lastModifiedBy>
  <dcterms:created xsi:type="dcterms:W3CDTF">2015-06-05T18:17:20Z</dcterms:created>
  <dcterms:modified xsi:type="dcterms:W3CDTF">2025-11-15T22:07:07Z</dcterms:modified>
</cp:coreProperties>
</file>