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epos\MedLife\MedLife---finance\"/>
    </mc:Choice>
  </mc:AlternateContent>
  <xr:revisionPtr revIDLastSave="0" documentId="13_ncr:1_{CCF7CE1B-F14C-4972-BF26-D23E25C1F20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ctivePasive" sheetId="1" r:id="rId1"/>
    <sheet name="RateFinanciare" sheetId="3" r:id="rId2"/>
    <sheet name="P&amp;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26" i="3"/>
  <c r="E25" i="3"/>
  <c r="E21" i="3"/>
  <c r="E20" i="3"/>
  <c r="E19" i="3"/>
  <c r="E18" i="3"/>
  <c r="E16" i="3"/>
  <c r="E17" i="3" s="1"/>
  <c r="E12" i="3"/>
  <c r="E13" i="3"/>
  <c r="E11" i="3"/>
  <c r="E10" i="3"/>
  <c r="E9" i="3"/>
  <c r="E6" i="3"/>
  <c r="E5" i="3"/>
  <c r="E4" i="3"/>
  <c r="D13" i="2"/>
  <c r="D5" i="2"/>
  <c r="D7" i="2" s="1"/>
  <c r="D8" i="2" s="1"/>
  <c r="I17" i="1"/>
  <c r="G9" i="1"/>
  <c r="G3" i="1"/>
  <c r="G17" i="1" s="1"/>
  <c r="D10" i="1"/>
  <c r="D17" i="1" s="1"/>
  <c r="D3" i="1"/>
  <c r="D14" i="2" l="1"/>
  <c r="D16" i="2" s="1"/>
</calcChain>
</file>

<file path=xl/sharedStrings.xml><?xml version="1.0" encoding="utf-8"?>
<sst xmlns="http://schemas.openxmlformats.org/spreadsheetml/2006/main" count="134" uniqueCount="117">
  <si>
    <t>Activ</t>
  </si>
  <si>
    <t>Obs</t>
  </si>
  <si>
    <t>Pasiv</t>
  </si>
  <si>
    <t>Elemente</t>
  </si>
  <si>
    <t>Observatii</t>
  </si>
  <si>
    <t>Sume pe 2017</t>
  </si>
  <si>
    <t>ACTIVE CURENTE</t>
  </si>
  <si>
    <t>Stocuri</t>
  </si>
  <si>
    <t>Creante</t>
  </si>
  <si>
    <t>Rezerve</t>
  </si>
  <si>
    <t>Investitii pe termen scurt</t>
  </si>
  <si>
    <t>Rezultat reportat</t>
  </si>
  <si>
    <t>Cheltuieli in avans</t>
  </si>
  <si>
    <t>Provizioane</t>
  </si>
  <si>
    <t>EBITDA</t>
  </si>
  <si>
    <t>Imobilizari corporale</t>
  </si>
  <si>
    <t>Imobilizari necorporale</t>
  </si>
  <si>
    <t>Pasive curente</t>
  </si>
  <si>
    <t>Rezultat net</t>
  </si>
  <si>
    <t>TOTAL ACTIV</t>
  </si>
  <si>
    <t>TOTAL PASIV</t>
  </si>
  <si>
    <t>I Ratele de solvabilitate pe termen scurt</t>
  </si>
  <si>
    <t xml:space="preserve">Formula </t>
  </si>
  <si>
    <t>Sume</t>
  </si>
  <si>
    <t>Rata de lichiditate curentă:</t>
  </si>
  <si>
    <t>Active curente/Pasive curente</t>
  </si>
  <si>
    <t>Rata de lichiditate rapidă:</t>
  </si>
  <si>
    <t>(Active curente-Stocuri)/Pasive curente</t>
  </si>
  <si>
    <t>Rata de lichiditate imediată:</t>
  </si>
  <si>
    <t>Cash/Pasive curente</t>
  </si>
  <si>
    <t>II Ratele de solvabilitate pe termen lung</t>
  </si>
  <si>
    <t>Rata îndatorării totale:</t>
  </si>
  <si>
    <t>(Active totale-Capitaluri proprii)/Active totale</t>
  </si>
  <si>
    <t>Rata acoperirii datoriei prin capital propriu:</t>
  </si>
  <si>
    <t>Datorii totale(TL+TS)/Capitaluri proprii</t>
  </si>
  <si>
    <t>Multiplicatorul capitalului propriu:</t>
  </si>
  <si>
    <t>Active totale/Capital propriu</t>
  </si>
  <si>
    <t>Rata de acoperire a dobânzii:</t>
  </si>
  <si>
    <t>EBIT/Dobândă</t>
  </si>
  <si>
    <t>Rata de acoperire a dobânzii din cash:</t>
  </si>
  <si>
    <t>III Ratele de rotație a activului</t>
  </si>
  <si>
    <t>Rotația stocurilor</t>
  </si>
  <si>
    <t>Costul bunurilor vândute/Stocuri</t>
  </si>
  <si>
    <t>Rotația stocurilor ca durată</t>
  </si>
  <si>
    <t>365/Rotația stocurilor</t>
  </si>
  <si>
    <t>Rotația creanțelor</t>
  </si>
  <si>
    <t>Vânzări/Creanțe</t>
  </si>
  <si>
    <t>Rotația creanțelor ca durată</t>
  </si>
  <si>
    <t>365/Rotația creanțelor</t>
  </si>
  <si>
    <t>Rotația activelor totale</t>
  </si>
  <si>
    <t>Vânzări/Active totale</t>
  </si>
  <si>
    <t>Intensitatea utilizării capitalului</t>
  </si>
  <si>
    <t>Active totale/Vânzări</t>
  </si>
  <si>
    <t>IV Ratele de profitabilitate</t>
  </si>
  <si>
    <t>Rata pofitului</t>
  </si>
  <si>
    <t>Profit net/Vânzări</t>
  </si>
  <si>
    <t>Rata rentabilității economice "ROA"</t>
  </si>
  <si>
    <t>Profit net/Active totale</t>
  </si>
  <si>
    <t>Rata rentabilității financiare "ROE"</t>
  </si>
  <si>
    <t>Profit net/Capitaluri proprii</t>
  </si>
  <si>
    <t>Active Circulante</t>
  </si>
  <si>
    <t>Alte active</t>
  </si>
  <si>
    <t>Numerar și echivalente de numerar</t>
  </si>
  <si>
    <t>ACTIVE FIXE</t>
  </si>
  <si>
    <t>Fond comercial</t>
  </si>
  <si>
    <t>Active Imobilizate</t>
  </si>
  <si>
    <t>Drepturi de utilizare a activelor</t>
  </si>
  <si>
    <t>Alte active financiare</t>
  </si>
  <si>
    <t>CAPITALURI PROPRII</t>
  </si>
  <si>
    <t xml:space="preserve">CAPITALUL EMIS SI PRIME DE CAPITAL  </t>
  </si>
  <si>
    <t>Rezerve legale + Alte rezerve + Rezerve din reevaluare</t>
  </si>
  <si>
    <t>CAPITALURI</t>
  </si>
  <si>
    <t>Capital Social + Prime de Capital</t>
  </si>
  <si>
    <t>Acțiuni proprii</t>
  </si>
  <si>
    <t>An anterior +  Creștere din achiziția de acțiuni 
proprii</t>
  </si>
  <si>
    <t>Sume Activ 2024</t>
  </si>
  <si>
    <t>Sume Pasiv 2024</t>
  </si>
  <si>
    <t>Interese care nu controlează</t>
  </si>
  <si>
    <t>Datorii comerciale și alte datorii</t>
  </si>
  <si>
    <t>Descoperire de cont</t>
  </si>
  <si>
    <t>Porțiunea curentă a datoriei din leasing</t>
  </si>
  <si>
    <t>Porțiunea curentă a împrumuturilor purtătoare de dobânzi</t>
  </si>
  <si>
    <t>Datorii cu impozitul pe profit curent</t>
  </si>
  <si>
    <t>Alte datorii</t>
  </si>
  <si>
    <t>Datorii din leasing</t>
  </si>
  <si>
    <t>Alte datorii pe termen lung</t>
  </si>
  <si>
    <t>Împrumuturi purtătoare de dobânzi</t>
  </si>
  <si>
    <t>Datorii cu impozitul amânat</t>
  </si>
  <si>
    <t>Total Datorii pe Termen Lung</t>
  </si>
  <si>
    <t xml:space="preserve"> Venituri din contracte cu clienții</t>
  </si>
  <si>
    <t>Venituri</t>
  </si>
  <si>
    <t>Alte venituri operaționale</t>
  </si>
  <si>
    <t>Cheltuieli operationale</t>
  </si>
  <si>
    <t xml:space="preserve">Consumabile și materiale de reparații +  Cheltuieli cu terții + Cheltuieli cu salariile și cele asimilate salariilor  + Contribuții sociale +  Amortizare, depreciere și ajustări de valoare ale 
mijloacelor fixe + (Pierderi) sau câștiguri din depreciere +  Cheltuieli cu mărfurile + Alte cheltuieli operaționale
</t>
  </si>
  <si>
    <t>Profit Operational (EBIT)</t>
  </si>
  <si>
    <t>Venituri operationale</t>
  </si>
  <si>
    <t>Venituri operationale - Cheltuieli operationale</t>
  </si>
  <si>
    <t xml:space="preserve">EBIT + Amortizare, depreciere și ajustări de valoare + (Pierderi) / câștiguri din depreciere </t>
  </si>
  <si>
    <t>Costul finantarii</t>
  </si>
  <si>
    <t>Venituri din dobânzi</t>
  </si>
  <si>
    <t>Alte venituri financiare</t>
  </si>
  <si>
    <t>Alte cheltuieli financiare</t>
  </si>
  <si>
    <t>Rezultat financiar</t>
  </si>
  <si>
    <t>EBT (Rezultat inainte de impozitare)</t>
  </si>
  <si>
    <t>Impozit pe profit</t>
  </si>
  <si>
    <t>Profit atribuibil proprietarilor Grupului</t>
  </si>
  <si>
    <t>Profit / (pierdere) atribuibil NCI</t>
  </si>
  <si>
    <t>Dobanzi</t>
  </si>
  <si>
    <t>Alte venituri</t>
  </si>
  <si>
    <t>Dobanzi + Alte venituri - Alte cheltuieli financiare -Costul finantarii</t>
  </si>
  <si>
    <t>Profit operational + Rezultat financiar</t>
  </si>
  <si>
    <t>Cheltuiala cu impozitul pe profit</t>
  </si>
  <si>
    <t>Propietarilor grupului</t>
  </si>
  <si>
    <t>Intereselor care nu controlează</t>
  </si>
  <si>
    <t>(EBIT+Amortizare+Deprecieri)/Dobândă=EBITDA/Dobanda</t>
  </si>
  <si>
    <t>Tip datorie pe termen lung</t>
  </si>
  <si>
    <t>Sume detaliate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</si>
</sst>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5"/>
      <color theme="1"/>
      <name val="Calibri"/>
      <family val="2"/>
      <scheme val="minor"/>
    </font>
    <font>
      <sz val="10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2" borderId="4" applyNumberFormat="0" applyAlignment="0" applyProtection="0"/>
  </cellStyleXfs>
  <cellXfs count="28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/>
    <xf numFmtId="2" fontId="0" fillId="0" borderId="0" xfId="0" applyNumberFormat="1"/>
    <xf numFmtId="0" fontId="9" fillId="0" borderId="3" xfId="2" applyAlignment="1">
      <alignment vertical="center" wrapText="1"/>
    </xf>
    <xf numFmtId="1" fontId="3" fillId="0" borderId="1" xfId="0" applyNumberFormat="1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 wrapText="1"/>
    </xf>
    <xf numFmtId="1" fontId="0" fillId="0" borderId="1" xfId="0" applyNumberFormat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vertical="center" wrapText="1"/>
    </xf>
    <xf numFmtId="0" fontId="9" fillId="0" borderId="3" xfId="2" applyAlignment="1">
      <alignment wrapText="1"/>
    </xf>
    <xf numFmtId="1" fontId="0" fillId="0" borderId="1" xfId="0" applyNumberFormat="1" applyBorder="1" applyAlignment="1">
      <alignment wrapText="1"/>
    </xf>
    <xf numFmtId="0" fontId="10" fillId="2" borderId="4" xfId="3" applyAlignment="1">
      <alignment vertical="center" wrapText="1"/>
    </xf>
    <xf numFmtId="1" fontId="10" fillId="2" borderId="4" xfId="3" applyNumberFormat="1" applyAlignment="1">
      <alignment vertical="center" wrapText="1"/>
    </xf>
    <xf numFmtId="0" fontId="10" fillId="2" borderId="4" xfId="3" applyAlignment="1">
      <alignment wrapText="1"/>
    </xf>
    <xf numFmtId="2" fontId="1" fillId="0" borderId="0" xfId="0" applyNumberFormat="1" applyFont="1" applyAlignment="1">
      <alignment wrapText="1"/>
    </xf>
    <xf numFmtId="0" fontId="11" fillId="0" borderId="2" xfId="1" applyFont="1" applyAlignment="1">
      <alignment horizontal="center" vertical="center" wrapText="1"/>
    </xf>
    <xf numFmtId="2" fontId="11" fillId="0" borderId="2" xfId="1" applyNumberFormat="1" applyFont="1" applyAlignment="1">
      <alignment vertical="center" wrapText="1"/>
    </xf>
    <xf numFmtId="2" fontId="11" fillId="0" borderId="2" xfId="1" applyNumberFormat="1" applyFont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1" fontId="10" fillId="2" borderId="4" xfId="3" applyNumberFormat="1" applyAlignment="1">
      <alignment wrapText="1"/>
    </xf>
    <xf numFmtId="0" fontId="9" fillId="0" borderId="2" xfId="1" applyFont="1" applyAlignment="1">
      <alignment vertical="center" wrapText="1"/>
    </xf>
    <xf numFmtId="1" fontId="7" fillId="0" borderId="1" xfId="0" applyNumberFormat="1" applyFont="1" applyBorder="1" applyAlignment="1">
      <alignment horizontal="right" vertical="center" wrapText="1"/>
    </xf>
  </cellXfs>
  <cellStyles count="4">
    <cellStyle name="Calculation" xfId="3" builtinId="22"/>
    <cellStyle name="Heading 1" xfId="1" builtinId="16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tabSelected="1" zoomScale="90" zoomScaleNormal="90" workbookViewId="0"/>
  </sheetViews>
  <sheetFormatPr defaultRowHeight="15" x14ac:dyDescent="0.25"/>
  <cols>
    <col min="1" max="1" width="3.85546875" customWidth="1"/>
    <col min="2" max="2" width="30" style="11" customWidth="1"/>
    <col min="3" max="3" width="24.7109375" style="11" customWidth="1"/>
    <col min="4" max="4" width="39.85546875" style="11" customWidth="1"/>
    <col min="5" max="5" width="34.5703125" style="11" customWidth="1"/>
    <col min="6" max="6" width="35.7109375" style="11" customWidth="1"/>
    <col min="7" max="7" width="32.85546875" style="11" customWidth="1"/>
    <col min="8" max="8" width="36.85546875" style="11" customWidth="1"/>
    <col min="9" max="9" width="17.85546875" style="11" customWidth="1"/>
    <col min="10" max="10" width="26.7109375" customWidth="1"/>
    <col min="11" max="11" width="20.85546875" customWidth="1"/>
    <col min="12" max="12" width="28.5703125" customWidth="1"/>
  </cols>
  <sheetData>
    <row r="1" spans="2:9" x14ac:dyDescent="0.25">
      <c r="B1" s="14"/>
    </row>
    <row r="2" spans="2:9" ht="16.5" thickBot="1" x14ac:dyDescent="0.3">
      <c r="B2" s="21" t="s">
        <v>0</v>
      </c>
      <c r="C2" s="21" t="s">
        <v>1</v>
      </c>
      <c r="D2" s="21" t="s">
        <v>75</v>
      </c>
      <c r="E2" s="21" t="s">
        <v>2</v>
      </c>
      <c r="F2" s="21" t="s">
        <v>1</v>
      </c>
      <c r="G2" s="21" t="s">
        <v>76</v>
      </c>
      <c r="H2" s="21" t="s">
        <v>115</v>
      </c>
      <c r="I2" s="21" t="s">
        <v>116</v>
      </c>
    </row>
    <row r="3" spans="2:9" ht="21" thickTop="1" thickBot="1" x14ac:dyDescent="0.35">
      <c r="B3" s="6" t="s">
        <v>6</v>
      </c>
      <c r="C3" s="2"/>
      <c r="D3" s="9">
        <f>SUM((D4:D9))</f>
        <v>658905448</v>
      </c>
      <c r="E3" s="6" t="s">
        <v>68</v>
      </c>
      <c r="F3" s="12"/>
      <c r="G3" s="9">
        <f>SUM(G4:G8) - 2 * G5</f>
        <v>504644731</v>
      </c>
      <c r="H3" s="15"/>
      <c r="I3" s="16"/>
    </row>
    <row r="4" spans="2:9" ht="30.75" thickBot="1" x14ac:dyDescent="0.3">
      <c r="B4" s="6" t="s">
        <v>7</v>
      </c>
      <c r="C4" s="13" t="s">
        <v>60</v>
      </c>
      <c r="D4" s="7">
        <v>148798218</v>
      </c>
      <c r="E4" s="15" t="s">
        <v>69</v>
      </c>
      <c r="F4" s="2" t="s">
        <v>72</v>
      </c>
      <c r="G4" s="16">
        <v>132562338</v>
      </c>
      <c r="H4" s="15"/>
      <c r="I4" s="16"/>
    </row>
    <row r="5" spans="2:9" ht="45.75" thickBot="1" x14ac:dyDescent="0.3">
      <c r="B5" s="6" t="s">
        <v>8</v>
      </c>
      <c r="C5" s="13" t="s">
        <v>60</v>
      </c>
      <c r="D5" s="8">
        <v>324106860</v>
      </c>
      <c r="E5" s="6" t="s">
        <v>73</v>
      </c>
      <c r="F5" s="13" t="s">
        <v>74</v>
      </c>
      <c r="G5" s="7">
        <v>1760728</v>
      </c>
      <c r="H5" s="15"/>
      <c r="I5" s="16"/>
    </row>
    <row r="6" spans="2:9" ht="30.75" thickBot="1" x14ac:dyDescent="0.3">
      <c r="B6" s="6" t="s">
        <v>10</v>
      </c>
      <c r="C6" s="13" t="s">
        <v>60</v>
      </c>
      <c r="D6" s="7">
        <v>0</v>
      </c>
      <c r="E6" s="6" t="s">
        <v>9</v>
      </c>
      <c r="F6" s="13" t="s">
        <v>70</v>
      </c>
      <c r="G6" s="8">
        <v>232230657</v>
      </c>
      <c r="H6" s="15"/>
      <c r="I6" s="16"/>
    </row>
    <row r="7" spans="2:9" ht="15.75" thickBot="1" x14ac:dyDescent="0.3">
      <c r="B7" s="6" t="s">
        <v>61</v>
      </c>
      <c r="C7" s="13" t="s">
        <v>60</v>
      </c>
      <c r="D7" s="7">
        <v>55880250</v>
      </c>
      <c r="E7" s="6" t="s">
        <v>11</v>
      </c>
      <c r="F7" s="13" t="s">
        <v>71</v>
      </c>
      <c r="G7" s="16">
        <v>69593507</v>
      </c>
      <c r="H7" s="15"/>
      <c r="I7" s="16"/>
    </row>
    <row r="8" spans="2:9" ht="30.75" thickBot="1" x14ac:dyDescent="0.3">
      <c r="B8" s="6" t="s">
        <v>62</v>
      </c>
      <c r="C8" s="13" t="s">
        <v>60</v>
      </c>
      <c r="D8" s="16">
        <v>112808224</v>
      </c>
      <c r="E8" s="6" t="s">
        <v>77</v>
      </c>
      <c r="F8" s="13"/>
      <c r="G8" s="16">
        <v>72018957</v>
      </c>
      <c r="H8" s="15"/>
      <c r="I8" s="16"/>
    </row>
    <row r="9" spans="2:9" ht="15.75" thickBot="1" x14ac:dyDescent="0.3">
      <c r="B9" s="6" t="s">
        <v>12</v>
      </c>
      <c r="C9" s="2" t="s">
        <v>60</v>
      </c>
      <c r="D9" s="16">
        <v>17311896</v>
      </c>
      <c r="E9" s="6" t="s">
        <v>17</v>
      </c>
      <c r="F9" s="13"/>
      <c r="G9" s="9">
        <f>SUM(G10:G16)</f>
        <v>976224339</v>
      </c>
      <c r="H9" s="15"/>
      <c r="I9" s="16"/>
    </row>
    <row r="10" spans="2:9" ht="15.75" thickBot="1" x14ac:dyDescent="0.3">
      <c r="B10" s="6" t="s">
        <v>63</v>
      </c>
      <c r="C10" s="2"/>
      <c r="D10" s="9">
        <f>SUM(D11:D16)</f>
        <v>2357408397</v>
      </c>
      <c r="E10" s="15" t="s">
        <v>78</v>
      </c>
      <c r="F10" s="2"/>
      <c r="G10" s="16">
        <v>571552330</v>
      </c>
      <c r="H10" s="15" t="s">
        <v>84</v>
      </c>
      <c r="I10" s="16">
        <v>286025347</v>
      </c>
    </row>
    <row r="11" spans="2:9" ht="15.75" thickBot="1" x14ac:dyDescent="0.3">
      <c r="B11" s="6" t="s">
        <v>15</v>
      </c>
      <c r="C11" s="13" t="s">
        <v>65</v>
      </c>
      <c r="D11" s="16">
        <v>1303969853</v>
      </c>
      <c r="E11" s="15" t="s">
        <v>79</v>
      </c>
      <c r="F11" s="2"/>
      <c r="G11" s="16">
        <v>29076066</v>
      </c>
      <c r="H11" s="15" t="s">
        <v>85</v>
      </c>
      <c r="I11" s="16">
        <v>69109052</v>
      </c>
    </row>
    <row r="12" spans="2:9" ht="30.75" thickBot="1" x14ac:dyDescent="0.3">
      <c r="B12" s="6" t="s">
        <v>16</v>
      </c>
      <c r="C12" s="13" t="s">
        <v>65</v>
      </c>
      <c r="D12" s="8">
        <v>120974820</v>
      </c>
      <c r="E12" s="15" t="s">
        <v>80</v>
      </c>
      <c r="F12" s="13"/>
      <c r="G12" s="16">
        <v>108288263</v>
      </c>
      <c r="H12" s="15" t="s">
        <v>86</v>
      </c>
      <c r="I12" s="16">
        <v>1135073779</v>
      </c>
    </row>
    <row r="13" spans="2:9" ht="30.75" thickBot="1" x14ac:dyDescent="0.3">
      <c r="B13" s="15" t="s">
        <v>64</v>
      </c>
      <c r="C13" s="13" t="s">
        <v>65</v>
      </c>
      <c r="D13" s="16">
        <v>492034979</v>
      </c>
      <c r="E13" s="6" t="s">
        <v>81</v>
      </c>
      <c r="F13" s="13"/>
      <c r="G13" s="8">
        <v>127417891</v>
      </c>
      <c r="H13" s="15" t="s">
        <v>87</v>
      </c>
      <c r="I13" s="16">
        <v>45236597</v>
      </c>
    </row>
    <row r="14" spans="2:9" ht="15.75" thickBot="1" x14ac:dyDescent="0.3">
      <c r="B14" s="15" t="s">
        <v>66</v>
      </c>
      <c r="C14" s="13" t="s">
        <v>65</v>
      </c>
      <c r="D14" s="16">
        <v>54138411</v>
      </c>
      <c r="E14" s="6" t="s">
        <v>82</v>
      </c>
      <c r="F14" s="13"/>
      <c r="G14" s="16">
        <v>4322327</v>
      </c>
      <c r="H14" s="15"/>
      <c r="I14" s="16"/>
    </row>
    <row r="15" spans="2:9" ht="15.75" thickBot="1" x14ac:dyDescent="0.3">
      <c r="B15" s="15" t="s">
        <v>67</v>
      </c>
      <c r="C15" s="13" t="s">
        <v>65</v>
      </c>
      <c r="D15" s="16">
        <v>0</v>
      </c>
      <c r="E15" s="6" t="s">
        <v>13</v>
      </c>
      <c r="F15" s="13"/>
      <c r="G15" s="8">
        <v>17409666</v>
      </c>
      <c r="H15" s="15"/>
      <c r="I15" s="16"/>
    </row>
    <row r="16" spans="2:9" ht="15.75" thickBot="1" x14ac:dyDescent="0.3">
      <c r="B16" s="15" t="s">
        <v>66</v>
      </c>
      <c r="C16" s="13" t="s">
        <v>65</v>
      </c>
      <c r="D16" s="16">
        <v>386290334</v>
      </c>
      <c r="E16" s="6" t="s">
        <v>83</v>
      </c>
      <c r="F16" s="13"/>
      <c r="G16" s="7">
        <v>118157796</v>
      </c>
      <c r="H16" s="15"/>
      <c r="I16" s="16"/>
    </row>
    <row r="17" spans="2:9" x14ac:dyDescent="0.25">
      <c r="B17" s="17" t="s">
        <v>19</v>
      </c>
      <c r="C17" s="17"/>
      <c r="D17" s="18">
        <f>D10 +D3</f>
        <v>3016313845</v>
      </c>
      <c r="E17" s="17" t="s">
        <v>20</v>
      </c>
      <c r="F17" s="19"/>
      <c r="G17" s="18">
        <f xml:space="preserve"> G3 +G9 +I17</f>
        <v>3016313845</v>
      </c>
      <c r="H17" s="19" t="s">
        <v>88</v>
      </c>
      <c r="I17" s="25">
        <f xml:space="preserve"> SUM(I10:I13)</f>
        <v>1535444775</v>
      </c>
    </row>
    <row r="18" spans="2:9" x14ac:dyDescent="0.25">
      <c r="B18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5C3B-A9CF-4A93-8F5B-0FE0C5BE696C}">
  <dimension ref="B2:E26"/>
  <sheetViews>
    <sheetView zoomScale="90" zoomScaleNormal="90" workbookViewId="0">
      <pane ySplit="2" topLeftCell="A8" activePane="bottomLeft" state="frozen"/>
      <selection pane="bottomLeft"/>
    </sheetView>
  </sheetViews>
  <sheetFormatPr defaultColWidth="9.140625" defaultRowHeight="15" x14ac:dyDescent="0.25"/>
  <cols>
    <col min="1" max="1" width="3.7109375" style="5" customWidth="1"/>
    <col min="2" max="2" width="21.5703125" style="20" customWidth="1"/>
    <col min="3" max="3" width="22.140625" style="20" customWidth="1"/>
    <col min="4" max="4" width="23.5703125" style="20" customWidth="1"/>
    <col min="5" max="5" width="28.140625" style="20" customWidth="1"/>
    <col min="6" max="16384" width="9.140625" style="5"/>
  </cols>
  <sheetData>
    <row r="2" spans="2:5" ht="16.5" thickBot="1" x14ac:dyDescent="0.3">
      <c r="C2" s="22"/>
      <c r="D2" s="23" t="s">
        <v>22</v>
      </c>
      <c r="E2" s="23" t="s">
        <v>23</v>
      </c>
    </row>
    <row r="3" spans="2:5" ht="45.75" customHeight="1" thickTop="1" thickBot="1" x14ac:dyDescent="0.3">
      <c r="B3" s="22" t="s">
        <v>21</v>
      </c>
      <c r="C3" s="5"/>
      <c r="D3" s="5"/>
      <c r="E3" s="5"/>
    </row>
    <row r="4" spans="2:5" ht="30.75" thickTop="1" x14ac:dyDescent="0.25">
      <c r="B4" s="24">
        <v>1</v>
      </c>
      <c r="C4" s="13" t="s">
        <v>24</v>
      </c>
      <c r="D4" s="13" t="s">
        <v>25</v>
      </c>
      <c r="E4" s="24">
        <f>658905448 / 976224339</f>
        <v>0.67495289932532609</v>
      </c>
    </row>
    <row r="5" spans="2:5" ht="30" x14ac:dyDescent="0.25">
      <c r="B5" s="24">
        <v>2</v>
      </c>
      <c r="C5" s="13" t="s">
        <v>26</v>
      </c>
      <c r="D5" s="13" t="s">
        <v>27</v>
      </c>
      <c r="E5" s="24">
        <f>(658905448 - 148798218) / 976224339</f>
        <v>0.52253074382731612</v>
      </c>
    </row>
    <row r="6" spans="2:5" ht="30" x14ac:dyDescent="0.25">
      <c r="B6" s="24">
        <v>3</v>
      </c>
      <c r="C6" s="13" t="s">
        <v>28</v>
      </c>
      <c r="D6" s="13" t="s">
        <v>29</v>
      </c>
      <c r="E6" s="24">
        <f>112808224 / 976224339</f>
        <v>0.11555563561911972</v>
      </c>
    </row>
    <row r="7" spans="2:5" x14ac:dyDescent="0.25">
      <c r="B7" s="5"/>
      <c r="C7" s="5"/>
      <c r="D7" s="5"/>
      <c r="E7" s="5"/>
    </row>
    <row r="8" spans="2:5" ht="48" thickBot="1" x14ac:dyDescent="0.3">
      <c r="B8" s="22" t="s">
        <v>30</v>
      </c>
      <c r="C8" s="5"/>
      <c r="D8" s="5"/>
      <c r="E8" s="5"/>
    </row>
    <row r="9" spans="2:5" ht="30.75" thickTop="1" x14ac:dyDescent="0.25">
      <c r="B9" s="24">
        <v>1</v>
      </c>
      <c r="C9" s="13" t="s">
        <v>31</v>
      </c>
      <c r="D9" s="13" t="s">
        <v>32</v>
      </c>
      <c r="E9" s="24">
        <f>2511669114 / 3016313845</f>
        <v>0.83269488623124366</v>
      </c>
    </row>
    <row r="10" spans="2:5" ht="45" x14ac:dyDescent="0.25">
      <c r="B10" s="24">
        <v>2</v>
      </c>
      <c r="C10" s="13" t="s">
        <v>33</v>
      </c>
      <c r="D10" s="13" t="s">
        <v>34</v>
      </c>
      <c r="E10" s="24">
        <f>2511669114 / 504644731</f>
        <v>4.9771036131158972</v>
      </c>
    </row>
    <row r="11" spans="2:5" ht="30" x14ac:dyDescent="0.25">
      <c r="B11" s="24">
        <v>3</v>
      </c>
      <c r="C11" s="13" t="s">
        <v>35</v>
      </c>
      <c r="D11" s="13" t="s">
        <v>36</v>
      </c>
      <c r="E11" s="24">
        <f>3016313845 / 504644731</f>
        <v>5.9771036131158972</v>
      </c>
    </row>
    <row r="12" spans="2:5" ht="30" x14ac:dyDescent="0.25">
      <c r="B12" s="24">
        <v>4</v>
      </c>
      <c r="C12" s="13" t="s">
        <v>37</v>
      </c>
      <c r="D12" s="13" t="s">
        <v>38</v>
      </c>
      <c r="E12" s="24">
        <f>140408371 / 102630990</f>
        <v>1.3680894143182287</v>
      </c>
    </row>
    <row r="13" spans="2:5" ht="45" x14ac:dyDescent="0.25">
      <c r="B13" s="24">
        <v>5</v>
      </c>
      <c r="C13" s="13" t="s">
        <v>39</v>
      </c>
      <c r="D13" s="13" t="s">
        <v>114</v>
      </c>
      <c r="E13" s="24">
        <f>401476411 / 102630990</f>
        <v>3.9118438884785189</v>
      </c>
    </row>
    <row r="14" spans="2:5" x14ac:dyDescent="0.25">
      <c r="B14" s="5"/>
      <c r="C14" s="5"/>
      <c r="D14" s="5"/>
      <c r="E14" s="5"/>
    </row>
    <row r="15" spans="2:5" ht="32.25" thickBot="1" x14ac:dyDescent="0.3">
      <c r="B15" s="22" t="s">
        <v>40</v>
      </c>
      <c r="C15" s="5"/>
      <c r="D15" s="5"/>
      <c r="E15" s="5"/>
    </row>
    <row r="16" spans="2:5" ht="30.75" thickTop="1" x14ac:dyDescent="0.25">
      <c r="B16" s="24">
        <v>1</v>
      </c>
      <c r="C16" s="13" t="s">
        <v>41</v>
      </c>
      <c r="D16" s="13" t="s">
        <v>42</v>
      </c>
      <c r="E16" s="24">
        <f>725787350 / 148798218</f>
        <v>4.8776615725330794</v>
      </c>
    </row>
    <row r="17" spans="2:5" ht="30" x14ac:dyDescent="0.25">
      <c r="B17" s="24">
        <v>2</v>
      </c>
      <c r="C17" s="13" t="s">
        <v>43</v>
      </c>
      <c r="D17" s="13" t="s">
        <v>44</v>
      </c>
      <c r="E17" s="24">
        <f>365 / E16</f>
        <v>74.830939902713936</v>
      </c>
    </row>
    <row r="18" spans="2:5" x14ac:dyDescent="0.25">
      <c r="B18" s="24">
        <v>3</v>
      </c>
      <c r="C18" s="13" t="s">
        <v>45</v>
      </c>
      <c r="D18" s="13" t="s">
        <v>46</v>
      </c>
      <c r="E18" s="24">
        <f>2715574711 / 324106860</f>
        <v>8.3786400294026482</v>
      </c>
    </row>
    <row r="19" spans="2:5" ht="30" x14ac:dyDescent="0.25">
      <c r="B19" s="24">
        <v>4</v>
      </c>
      <c r="C19" s="13" t="s">
        <v>47</v>
      </c>
      <c r="D19" s="13" t="s">
        <v>48</v>
      </c>
      <c r="E19" s="24">
        <f>365 / 8.38</f>
        <v>43.556085918854414</v>
      </c>
    </row>
    <row r="20" spans="2:5" x14ac:dyDescent="0.25">
      <c r="B20" s="24">
        <v>5</v>
      </c>
      <c r="C20" s="13" t="s">
        <v>49</v>
      </c>
      <c r="D20" s="13" t="s">
        <v>50</v>
      </c>
      <c r="E20" s="24">
        <f>2715574711 / 3016313845</f>
        <v>0.90029580824338917</v>
      </c>
    </row>
    <row r="21" spans="2:5" ht="30" x14ac:dyDescent="0.25">
      <c r="B21" s="24">
        <v>6</v>
      </c>
      <c r="C21" s="13" t="s">
        <v>51</v>
      </c>
      <c r="D21" s="13" t="s">
        <v>52</v>
      </c>
      <c r="E21" s="24">
        <f>3016313845 / 2715574711</f>
        <v>1.1107460357403511</v>
      </c>
    </row>
    <row r="22" spans="2:5" x14ac:dyDescent="0.25">
      <c r="B22" s="5"/>
      <c r="C22" s="5"/>
      <c r="D22" s="5"/>
      <c r="E22" s="5"/>
    </row>
    <row r="23" spans="2:5" ht="32.25" thickBot="1" x14ac:dyDescent="0.3">
      <c r="B23" s="22" t="s">
        <v>53</v>
      </c>
      <c r="C23" s="5"/>
      <c r="D23" s="5"/>
      <c r="E23" s="5"/>
    </row>
    <row r="24" spans="2:5" ht="15.75" thickTop="1" x14ac:dyDescent="0.25">
      <c r="B24" s="24">
        <v>1</v>
      </c>
      <c r="C24" s="13" t="s">
        <v>54</v>
      </c>
      <c r="D24" s="13" t="s">
        <v>55</v>
      </c>
      <c r="E24" s="24">
        <f>16752427 / 2715574711</f>
        <v>6.1690171631591691E-3</v>
      </c>
    </row>
    <row r="25" spans="2:5" ht="30" x14ac:dyDescent="0.25">
      <c r="B25" s="24">
        <v>2</v>
      </c>
      <c r="C25" s="13" t="s">
        <v>56</v>
      </c>
      <c r="D25" s="13" t="s">
        <v>57</v>
      </c>
      <c r="E25" s="24">
        <f>16752427 / 3016313845</f>
        <v>5.5539402929737237E-3</v>
      </c>
    </row>
    <row r="26" spans="2:5" ht="30" x14ac:dyDescent="0.25">
      <c r="B26" s="24">
        <v>3</v>
      </c>
      <c r="C26" s="13" t="s">
        <v>58</v>
      </c>
      <c r="D26" s="13" t="s">
        <v>59</v>
      </c>
      <c r="E26" s="24">
        <f>25035987 / 432625774</f>
        <v>5.7869846191826751E-2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7A4C-4E95-4828-A93A-4C09FBCE9ABC}">
  <dimension ref="B2:D18"/>
  <sheetViews>
    <sheetView zoomScale="90" zoomScaleNormal="90" workbookViewId="0"/>
  </sheetViews>
  <sheetFormatPr defaultRowHeight="15" x14ac:dyDescent="0.25"/>
  <cols>
    <col min="1" max="1" width="3.7109375" customWidth="1"/>
    <col min="2" max="2" width="36.85546875" customWidth="1"/>
    <col min="3" max="3" width="29.85546875" customWidth="1"/>
    <col min="4" max="4" width="42.28515625" customWidth="1"/>
    <col min="5" max="5" width="9.140625" customWidth="1"/>
  </cols>
  <sheetData>
    <row r="2" spans="2:4" ht="15.75" thickBot="1" x14ac:dyDescent="0.3">
      <c r="B2" s="26" t="s">
        <v>3</v>
      </c>
      <c r="C2" s="26" t="s">
        <v>4</v>
      </c>
      <c r="D2" s="26" t="s">
        <v>5</v>
      </c>
    </row>
    <row r="3" spans="2:4" ht="15.75" thickTop="1" x14ac:dyDescent="0.25">
      <c r="B3" s="2" t="s">
        <v>89</v>
      </c>
      <c r="C3" s="3" t="s">
        <v>90</v>
      </c>
      <c r="D3" s="27">
        <v>2715574711</v>
      </c>
    </row>
    <row r="4" spans="2:4" x14ac:dyDescent="0.25">
      <c r="B4" s="2" t="s">
        <v>91</v>
      </c>
      <c r="C4" s="3" t="s">
        <v>90</v>
      </c>
      <c r="D4" s="10">
        <v>8850263</v>
      </c>
    </row>
    <row r="5" spans="2:4" x14ac:dyDescent="0.25">
      <c r="B5" s="2" t="s">
        <v>95</v>
      </c>
      <c r="C5" s="3" t="s">
        <v>90</v>
      </c>
      <c r="D5" s="10">
        <f xml:space="preserve"> D3 +D4</f>
        <v>2724424974</v>
      </c>
    </row>
    <row r="6" spans="2:4" ht="180" x14ac:dyDescent="0.25">
      <c r="B6" s="2" t="s">
        <v>92</v>
      </c>
      <c r="C6" s="3" t="s">
        <v>93</v>
      </c>
      <c r="D6" s="27">
        <v>2584016603</v>
      </c>
    </row>
    <row r="7" spans="2:4" ht="30" x14ac:dyDescent="0.25">
      <c r="B7" s="2" t="s">
        <v>94</v>
      </c>
      <c r="C7" s="3" t="s">
        <v>96</v>
      </c>
      <c r="D7" s="10">
        <f xml:space="preserve"> D5 - D6</f>
        <v>140408371</v>
      </c>
    </row>
    <row r="8" spans="2:4" ht="45" x14ac:dyDescent="0.25">
      <c r="B8" s="2" t="s">
        <v>14</v>
      </c>
      <c r="C8" s="3" t="s">
        <v>97</v>
      </c>
      <c r="D8" s="7">
        <f xml:space="preserve"> D7 +254592721 +6475319</f>
        <v>401476411</v>
      </c>
    </row>
    <row r="9" spans="2:4" x14ac:dyDescent="0.25">
      <c r="B9" s="2" t="s">
        <v>98</v>
      </c>
      <c r="C9" s="3" t="s">
        <v>98</v>
      </c>
      <c r="D9" s="7">
        <v>102630990</v>
      </c>
    </row>
    <row r="10" spans="2:4" x14ac:dyDescent="0.25">
      <c r="B10" s="2" t="s">
        <v>99</v>
      </c>
      <c r="C10" s="3" t="s">
        <v>107</v>
      </c>
      <c r="D10" s="7">
        <v>2175920</v>
      </c>
    </row>
    <row r="11" spans="2:4" x14ac:dyDescent="0.25">
      <c r="B11" s="2" t="s">
        <v>100</v>
      </c>
      <c r="C11" s="3" t="s">
        <v>108</v>
      </c>
      <c r="D11" s="7">
        <v>462070</v>
      </c>
    </row>
    <row r="12" spans="2:4" x14ac:dyDescent="0.25">
      <c r="B12" s="2" t="s">
        <v>101</v>
      </c>
      <c r="C12" s="3" t="s">
        <v>101</v>
      </c>
      <c r="D12" s="7">
        <v>1346241</v>
      </c>
    </row>
    <row r="13" spans="2:4" ht="45" x14ac:dyDescent="0.25">
      <c r="B13" s="2" t="s">
        <v>102</v>
      </c>
      <c r="C13" s="3" t="s">
        <v>109</v>
      </c>
      <c r="D13" s="7">
        <f xml:space="preserve"> D10+D11-D9-D12</f>
        <v>-101339241</v>
      </c>
    </row>
    <row r="14" spans="2:4" ht="30" x14ac:dyDescent="0.25">
      <c r="B14" s="2" t="s">
        <v>103</v>
      </c>
      <c r="C14" s="3" t="s">
        <v>110</v>
      </c>
      <c r="D14" s="7">
        <f>D13+D7</f>
        <v>39069130</v>
      </c>
    </row>
    <row r="15" spans="2:4" ht="30" x14ac:dyDescent="0.25">
      <c r="B15" s="2" t="s">
        <v>104</v>
      </c>
      <c r="C15" s="3" t="s">
        <v>111</v>
      </c>
      <c r="D15" s="7">
        <v>22316703</v>
      </c>
    </row>
    <row r="16" spans="2:4" x14ac:dyDescent="0.25">
      <c r="B16" s="2" t="s">
        <v>18</v>
      </c>
      <c r="C16" s="3" t="s">
        <v>18</v>
      </c>
      <c r="D16" s="7">
        <f>D14-D15</f>
        <v>16752427</v>
      </c>
    </row>
    <row r="17" spans="2:4" x14ac:dyDescent="0.25">
      <c r="B17" s="1" t="s">
        <v>105</v>
      </c>
      <c r="C17" s="4" t="s">
        <v>112</v>
      </c>
      <c r="D17" s="10">
        <v>25035987</v>
      </c>
    </row>
    <row r="18" spans="2:4" x14ac:dyDescent="0.25">
      <c r="B18" s="1" t="s">
        <v>106</v>
      </c>
      <c r="C18" s="4" t="s">
        <v>113</v>
      </c>
      <c r="D18" s="10">
        <v>8283560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ActivePasive</vt:lpstr>
      <vt:lpstr>RateFinanciare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Dragomir</dc:creator>
  <cp:lastModifiedBy>Andrei Dragomir</cp:lastModifiedBy>
  <dcterms:created xsi:type="dcterms:W3CDTF">2015-06-05T18:17:20Z</dcterms:created>
  <dcterms:modified xsi:type="dcterms:W3CDTF">2025-11-22T12:57:44Z</dcterms:modified>
</cp:coreProperties>
</file>